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C41D441-BC94-42E4-9A1C-8F3CC431C7F1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Hoja2" sheetId="2" r:id="rId1"/>
  </sheets>
  <definedNames>
    <definedName name="_xlnm.Print_Area" localSheetId="0">Hoja2!$A$1:$U$17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l="1"/>
  <c r="U2" i="2" s="1"/>
  <c r="D17" i="2"/>
  <c r="E17" i="2" l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l="1"/>
  <c r="U17" i="2" s="1"/>
</calcChain>
</file>

<file path=xl/sharedStrings.xml><?xml version="1.0" encoding="utf-8"?>
<sst xmlns="http://schemas.openxmlformats.org/spreadsheetml/2006/main" count="65" uniqueCount="58">
  <si>
    <t>SEMANA:</t>
  </si>
  <si>
    <t>Hs seman. de clase</t>
  </si>
  <si>
    <t>PROYECTO: elección</t>
  </si>
  <si>
    <t>PROYECTO: Ensamble</t>
  </si>
  <si>
    <t>PROYECTO: Ensayos</t>
  </si>
  <si>
    <t>PROYECTO: Muestra</t>
  </si>
  <si>
    <t>PROYECTO: análisis</t>
  </si>
  <si>
    <t>Fabricación</t>
  </si>
  <si>
    <t>Ensamble</t>
  </si>
  <si>
    <t>Ensayos</t>
  </si>
  <si>
    <t>Muestra</t>
  </si>
  <si>
    <t>objetivos/req.</t>
  </si>
  <si>
    <t>ENTREGA: presentación</t>
  </si>
  <si>
    <t>ENTREGA: info avance 1</t>
  </si>
  <si>
    <t>ENTREGA: info avance 2</t>
  </si>
  <si>
    <t>PROYECTO: Info Final</t>
  </si>
  <si>
    <t>Informe Final</t>
  </si>
  <si>
    <t>PROYECTO: Implement.</t>
  </si>
  <si>
    <t>Info. inicial</t>
  </si>
  <si>
    <t>Info. avance 1</t>
  </si>
  <si>
    <t>Info. avance2</t>
  </si>
  <si>
    <t>FECHA</t>
  </si>
  <si>
    <t>proyectos</t>
  </si>
  <si>
    <t>grupos, elec</t>
  </si>
  <si>
    <t>diseño proto: soft &amp; pcb</t>
  </si>
  <si>
    <t>Total Horas de aula/taller</t>
  </si>
  <si>
    <t>09/2</t>
  </si>
  <si>
    <t>5/2</t>
  </si>
  <si>
    <t>2/2</t>
  </si>
  <si>
    <t>18/12</t>
  </si>
  <si>
    <t>18/8</t>
  </si>
  <si>
    <t>25/8</t>
  </si>
  <si>
    <t>1/9</t>
  </si>
  <si>
    <t>8/9</t>
  </si>
  <si>
    <t>15/9</t>
  </si>
  <si>
    <t>22/9</t>
  </si>
  <si>
    <t>29/9</t>
  </si>
  <si>
    <t>6/10</t>
  </si>
  <si>
    <t>16/10</t>
  </si>
  <si>
    <t>20/10</t>
  </si>
  <si>
    <t>3/11</t>
  </si>
  <si>
    <t>10/11</t>
  </si>
  <si>
    <t>17/11</t>
  </si>
  <si>
    <t>1/12</t>
  </si>
  <si>
    <t>11/12</t>
  </si>
  <si>
    <t>15/12</t>
  </si>
  <si>
    <t>Charla ATEI</t>
  </si>
  <si>
    <t>dis.: soft &amp; pcb</t>
  </si>
  <si>
    <t>PROYECTO: diseño Hardware</t>
  </si>
  <si>
    <t>PROYECTO: diseño Firmware</t>
  </si>
  <si>
    <t>PROYECTO: diseño App</t>
  </si>
  <si>
    <t>diseño proto: app</t>
  </si>
  <si>
    <t>diseño proto: hard e interconeccion</t>
  </si>
  <si>
    <t xml:space="preserve">diseño proto: soft </t>
  </si>
  <si>
    <t>diseño proto: tests</t>
  </si>
  <si>
    <t>diseño proto:pcb</t>
  </si>
  <si>
    <t>Pruebas Finales</t>
  </si>
  <si>
    <t>Integracion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</si>
</sst>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rgb="FFC00000"/>
      </right>
      <top style="medium">
        <color indexed="64"/>
      </top>
      <bottom/>
      <diagonal/>
    </border>
    <border>
      <left/>
      <right style="thick">
        <color rgb="FFC00000"/>
      </right>
      <top style="medium">
        <color indexed="64"/>
      </top>
      <bottom style="medium">
        <color indexed="64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/>
    <xf numFmtId="0" fontId="0" fillId="7" borderId="0" xfId="0" applyFill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1" fillId="0" borderId="0" xfId="0" applyFont="1"/>
    <xf numFmtId="0" fontId="0" fillId="9" borderId="0" xfId="0" applyFill="1"/>
    <xf numFmtId="0" fontId="0" fillId="9" borderId="10" xfId="0" applyFill="1" applyBorder="1"/>
    <xf numFmtId="0" fontId="0" fillId="9" borderId="11" xfId="0" applyFill="1" applyBorder="1"/>
    <xf numFmtId="0" fontId="0" fillId="9" borderId="13" xfId="0" applyFill="1" applyBorder="1"/>
    <xf numFmtId="0" fontId="0" fillId="9" borderId="12" xfId="0" applyFill="1" applyBorder="1"/>
    <xf numFmtId="0" fontId="0" fillId="9" borderId="14" xfId="0" applyFill="1" applyBorder="1"/>
    <xf numFmtId="0" fontId="0" fillId="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49" fontId="2" fillId="0" borderId="3" xfId="0" applyNumberFormat="1" applyFont="1" applyBorder="1" applyAlignment="1">
      <alignment horizontal="center"/>
    </xf>
    <xf numFmtId="9" fontId="0" fillId="0" borderId="0" xfId="0" applyNumberFormat="1"/>
    <xf numFmtId="0" fontId="0" fillId="11" borderId="0" xfId="0" applyFill="1" applyAlignment="1">
      <alignment horizontal="center"/>
    </xf>
    <xf numFmtId="0" fontId="3" fillId="0" borderId="0" xfId="0" applyFont="1"/>
    <xf numFmtId="0" fontId="0" fillId="8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11" borderId="15" xfId="0" applyFill="1" applyBorder="1"/>
    <xf numFmtId="0" fontId="0" fillId="2" borderId="8" xfId="0" applyFill="1" applyBorder="1"/>
    <xf numFmtId="0" fontId="0" fillId="11" borderId="5" xfId="0" applyFill="1" applyBorder="1"/>
    <xf numFmtId="0" fontId="0" fillId="5" borderId="0" xfId="0" applyFill="1"/>
    <xf numFmtId="0" fontId="0" fillId="11" borderId="6" xfId="0" applyFill="1" applyBorder="1"/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12" xfId="0" applyBorder="1"/>
    <xf numFmtId="0" fontId="4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Border="1"/>
    <xf numFmtId="0" fontId="0" fillId="8" borderId="0" xfId="0" applyFill="1" applyBorder="1" applyAlignment="1">
      <alignment vertical="center"/>
    </xf>
    <xf numFmtId="0" fontId="0" fillId="6" borderId="0" xfId="0" applyFill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2" borderId="18" xfId="0" applyFill="1" applyBorder="1"/>
    <xf numFmtId="0" fontId="0" fillId="0" borderId="19" xfId="0" applyBorder="1"/>
    <xf numFmtId="0" fontId="0" fillId="2" borderId="18" xfId="0" applyFill="1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367220</xdr:colOff>
      <xdr:row>3</xdr:row>
      <xdr:rowOff>182498</xdr:rowOff>
    </xdr:from>
    <xdr:ext cx="1770423" cy="30495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20969582">
          <a:off x="16547814" y="777811"/>
          <a:ext cx="1770423" cy="304958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100"/>
            <a:t>FEBRERO 2026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"/>
  <sheetViews>
    <sheetView tabSelected="1" zoomScale="70" zoomScaleNormal="70" workbookViewId="0">
      <selection activeCell="L14" sqref="L14"/>
    </sheetView>
  </sheetViews>
  <sheetFormatPr baseColWidth="10" defaultRowHeight="14.4" x14ac:dyDescent="0.3"/>
  <cols>
    <col min="1" max="1" width="27.33203125" customWidth="1"/>
    <col min="2" max="7" width="11.44140625" customWidth="1"/>
    <col min="8" max="8" width="14" customWidth="1"/>
    <col min="9" max="9" width="13.5546875" customWidth="1"/>
    <col min="11" max="11" width="13.33203125" customWidth="1"/>
    <col min="12" max="12" width="14.88671875" customWidth="1"/>
    <col min="13" max="13" width="15" bestFit="1" customWidth="1"/>
    <col min="14" max="14" width="13.33203125" customWidth="1"/>
    <col min="18" max="18" width="13.109375" bestFit="1" customWidth="1"/>
  </cols>
  <sheetData>
    <row r="1" spans="1:21" ht="15" thickBot="1" x14ac:dyDescent="0.35">
      <c r="A1" s="30" t="s">
        <v>21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48" t="s">
        <v>40</v>
      </c>
      <c r="M1" s="12" t="s">
        <v>41</v>
      </c>
      <c r="N1" s="12" t="s">
        <v>42</v>
      </c>
      <c r="O1" s="24" t="s">
        <v>43</v>
      </c>
      <c r="P1" s="12" t="s">
        <v>44</v>
      </c>
      <c r="Q1" s="12" t="s">
        <v>45</v>
      </c>
      <c r="R1" s="12" t="s">
        <v>29</v>
      </c>
      <c r="S1" s="12" t="s">
        <v>28</v>
      </c>
      <c r="T1" s="12" t="s">
        <v>27</v>
      </c>
      <c r="U1" s="13" t="s">
        <v>26</v>
      </c>
    </row>
    <row r="2" spans="1:21" ht="15" thickBot="1" x14ac:dyDescent="0.35">
      <c r="A2" s="31" t="s">
        <v>0</v>
      </c>
      <c r="B2" s="8"/>
      <c r="C2" s="8">
        <v>1</v>
      </c>
      <c r="D2" s="8">
        <f>C2+1</f>
        <v>2</v>
      </c>
      <c r="E2" s="8">
        <f t="shared" ref="E2:U2" si="0">D2+1</f>
        <v>3</v>
      </c>
      <c r="F2" s="8">
        <f t="shared" si="0"/>
        <v>4</v>
      </c>
      <c r="G2" s="8">
        <f t="shared" si="0"/>
        <v>5</v>
      </c>
      <c r="H2" s="8">
        <f t="shared" si="0"/>
        <v>6</v>
      </c>
      <c r="I2" s="8">
        <f t="shared" si="0"/>
        <v>7</v>
      </c>
      <c r="J2" s="8">
        <f t="shared" si="0"/>
        <v>8</v>
      </c>
      <c r="K2" s="8">
        <f t="shared" si="0"/>
        <v>9</v>
      </c>
      <c r="L2" s="49">
        <f t="shared" si="0"/>
        <v>10</v>
      </c>
      <c r="M2" s="8">
        <f t="shared" si="0"/>
        <v>11</v>
      </c>
      <c r="N2" s="8">
        <f t="shared" si="0"/>
        <v>12</v>
      </c>
      <c r="O2" s="8">
        <f t="shared" si="0"/>
        <v>13</v>
      </c>
      <c r="P2" s="8">
        <f t="shared" si="0"/>
        <v>14</v>
      </c>
      <c r="Q2" s="8">
        <f t="shared" si="0"/>
        <v>15</v>
      </c>
      <c r="R2" s="8">
        <f t="shared" si="0"/>
        <v>16</v>
      </c>
      <c r="S2" s="8">
        <f>R2+1</f>
        <v>17</v>
      </c>
      <c r="T2" s="8">
        <f t="shared" si="0"/>
        <v>18</v>
      </c>
      <c r="U2" s="8">
        <f t="shared" si="0"/>
        <v>19</v>
      </c>
    </row>
    <row r="3" spans="1:21" x14ac:dyDescent="0.3">
      <c r="A3" s="32" t="s">
        <v>2</v>
      </c>
      <c r="B3" s="33" t="s">
        <v>23</v>
      </c>
      <c r="C3" s="33" t="s">
        <v>22</v>
      </c>
      <c r="D3" s="1"/>
      <c r="E3" s="1"/>
      <c r="F3" s="1"/>
      <c r="G3" s="1"/>
      <c r="H3" s="1"/>
      <c r="I3" s="1"/>
      <c r="J3" s="1"/>
      <c r="K3" s="1"/>
      <c r="L3" s="50"/>
      <c r="M3" s="1"/>
      <c r="N3" s="1"/>
      <c r="O3" s="1"/>
      <c r="P3" s="1"/>
      <c r="Q3" s="1"/>
      <c r="R3" s="1"/>
      <c r="S3" s="10"/>
      <c r="T3" s="1"/>
      <c r="U3" s="2"/>
    </row>
    <row r="4" spans="1:21" x14ac:dyDescent="0.3">
      <c r="A4" s="34" t="s">
        <v>6</v>
      </c>
      <c r="D4" s="42" t="s">
        <v>11</v>
      </c>
      <c r="E4" s="42"/>
      <c r="F4" s="42"/>
      <c r="L4" s="51"/>
      <c r="M4" s="45"/>
      <c r="S4" s="3"/>
      <c r="U4" s="4"/>
    </row>
    <row r="5" spans="1:21" x14ac:dyDescent="0.3">
      <c r="A5" s="34" t="s">
        <v>49</v>
      </c>
      <c r="F5" s="35"/>
      <c r="G5" s="35" t="s">
        <v>53</v>
      </c>
      <c r="H5" s="35"/>
      <c r="I5" s="35"/>
      <c r="J5" s="43" t="s">
        <v>54</v>
      </c>
      <c r="K5" s="43"/>
      <c r="L5" s="52" t="s">
        <v>46</v>
      </c>
      <c r="M5" s="46" t="s">
        <v>56</v>
      </c>
      <c r="N5" s="41"/>
      <c r="S5" s="3"/>
      <c r="U5" s="4"/>
    </row>
    <row r="6" spans="1:21" x14ac:dyDescent="0.3">
      <c r="A6" s="34" t="s">
        <v>50</v>
      </c>
      <c r="H6" s="44" t="s">
        <v>51</v>
      </c>
      <c r="I6" s="44"/>
      <c r="J6" s="43" t="s">
        <v>24</v>
      </c>
      <c r="K6" s="43"/>
      <c r="L6" s="52" t="s">
        <v>46</v>
      </c>
      <c r="M6" s="45"/>
      <c r="N6" s="28" t="s">
        <v>57</v>
      </c>
      <c r="S6" s="3"/>
      <c r="U6" s="4"/>
    </row>
    <row r="7" spans="1:21" x14ac:dyDescent="0.3">
      <c r="A7" s="34" t="s">
        <v>48</v>
      </c>
      <c r="F7" s="35"/>
      <c r="G7" s="35" t="s">
        <v>52</v>
      </c>
      <c r="H7" s="35"/>
      <c r="I7" s="35"/>
      <c r="J7" s="43" t="s">
        <v>55</v>
      </c>
      <c r="K7" s="43"/>
      <c r="L7" s="52" t="s">
        <v>46</v>
      </c>
      <c r="M7" s="46" t="s">
        <v>47</v>
      </c>
      <c r="N7" s="29"/>
      <c r="S7" s="3"/>
      <c r="U7" s="4"/>
    </row>
    <row r="8" spans="1:21" x14ac:dyDescent="0.3">
      <c r="A8" s="34" t="s">
        <v>17</v>
      </c>
      <c r="L8" s="51"/>
      <c r="M8" s="47" t="s">
        <v>7</v>
      </c>
      <c r="N8" s="23" t="s">
        <v>7</v>
      </c>
      <c r="O8" s="26"/>
      <c r="S8" s="3"/>
      <c r="U8" s="4"/>
    </row>
    <row r="9" spans="1:21" x14ac:dyDescent="0.3">
      <c r="A9" s="34" t="s">
        <v>3</v>
      </c>
      <c r="L9" s="51"/>
      <c r="M9" s="45"/>
      <c r="O9" s="22" t="s">
        <v>8</v>
      </c>
      <c r="P9" s="26"/>
      <c r="S9" s="3"/>
      <c r="U9" s="4"/>
    </row>
    <row r="10" spans="1:21" x14ac:dyDescent="0.3">
      <c r="A10" s="34" t="s">
        <v>4</v>
      </c>
      <c r="L10" s="51"/>
      <c r="M10" s="45"/>
      <c r="P10" s="11" t="s">
        <v>9</v>
      </c>
      <c r="Q10" s="11" t="s">
        <v>9</v>
      </c>
      <c r="R10" s="11" t="s">
        <v>9</v>
      </c>
      <c r="U10" s="4"/>
    </row>
    <row r="11" spans="1:21" x14ac:dyDescent="0.3">
      <c r="A11" s="34" t="s">
        <v>5</v>
      </c>
      <c r="L11" s="51"/>
      <c r="M11" s="45"/>
      <c r="O11" s="27"/>
      <c r="R11" s="15" t="s">
        <v>10</v>
      </c>
      <c r="S11" s="16" t="s">
        <v>10</v>
      </c>
      <c r="T11" s="15"/>
      <c r="U11" s="17"/>
    </row>
    <row r="12" spans="1:21" ht="15" thickBot="1" x14ac:dyDescent="0.35">
      <c r="A12" s="36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3"/>
      <c r="M12" s="5"/>
      <c r="N12" s="5"/>
      <c r="O12" s="5"/>
      <c r="P12" s="5"/>
      <c r="Q12" s="5"/>
      <c r="R12" s="18" t="s">
        <v>16</v>
      </c>
      <c r="S12" s="19" t="s">
        <v>16</v>
      </c>
      <c r="T12" s="18"/>
      <c r="U12" s="20"/>
    </row>
    <row r="13" spans="1:21" x14ac:dyDescent="0.3">
      <c r="A13" s="34" t="s">
        <v>12</v>
      </c>
      <c r="E13" s="21" t="s">
        <v>18</v>
      </c>
      <c r="L13" s="51"/>
      <c r="M13" s="45"/>
      <c r="S13" s="3"/>
      <c r="U13" s="4"/>
    </row>
    <row r="14" spans="1:21" x14ac:dyDescent="0.3">
      <c r="A14" s="34" t="s">
        <v>13</v>
      </c>
      <c r="H14" s="37" t="s">
        <v>19</v>
      </c>
      <c r="L14" s="51"/>
      <c r="M14" s="45"/>
      <c r="N14" s="14"/>
      <c r="S14" s="3"/>
      <c r="U14" s="4"/>
    </row>
    <row r="15" spans="1:21" ht="15" thickBot="1" x14ac:dyDescent="0.35">
      <c r="A15" s="34" t="s">
        <v>14</v>
      </c>
      <c r="L15" s="54" t="s">
        <v>20</v>
      </c>
      <c r="M15" s="45"/>
      <c r="S15" s="3"/>
      <c r="U15" s="4"/>
    </row>
    <row r="16" spans="1:21" ht="15" thickBot="1" x14ac:dyDescent="0.35">
      <c r="A16" s="38" t="s">
        <v>1</v>
      </c>
      <c r="B16" s="6">
        <v>4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55">
        <v>4</v>
      </c>
      <c r="M16" s="6">
        <v>4</v>
      </c>
      <c r="N16" s="6">
        <v>4</v>
      </c>
      <c r="O16" s="6">
        <v>4</v>
      </c>
      <c r="P16" s="6">
        <v>2</v>
      </c>
      <c r="Q16" s="6">
        <v>4</v>
      </c>
      <c r="R16" s="6">
        <v>4</v>
      </c>
      <c r="S16" s="9">
        <v>4</v>
      </c>
      <c r="T16" s="6">
        <v>4</v>
      </c>
      <c r="U16" s="7">
        <v>4</v>
      </c>
    </row>
    <row r="17" spans="1:21" ht="15" thickBot="1" x14ac:dyDescent="0.35">
      <c r="A17" s="39" t="s">
        <v>25</v>
      </c>
      <c r="B17" s="40"/>
      <c r="C17" s="9">
        <v>8</v>
      </c>
      <c r="D17" s="6">
        <f>C17+D16</f>
        <v>12</v>
      </c>
      <c r="E17" s="6">
        <f t="shared" ref="E17:R17" si="1">D17+E16</f>
        <v>16</v>
      </c>
      <c r="F17" s="6">
        <f t="shared" si="1"/>
        <v>20</v>
      </c>
      <c r="G17" s="6">
        <f t="shared" si="1"/>
        <v>24</v>
      </c>
      <c r="H17" s="6">
        <f t="shared" si="1"/>
        <v>28</v>
      </c>
      <c r="I17" s="6">
        <f t="shared" si="1"/>
        <v>32</v>
      </c>
      <c r="J17" s="6">
        <f t="shared" si="1"/>
        <v>36</v>
      </c>
      <c r="K17" s="6">
        <f t="shared" si="1"/>
        <v>40</v>
      </c>
      <c r="L17" s="55">
        <f t="shared" si="1"/>
        <v>44</v>
      </c>
      <c r="M17" s="6">
        <f t="shared" si="1"/>
        <v>48</v>
      </c>
      <c r="N17" s="6">
        <f t="shared" si="1"/>
        <v>52</v>
      </c>
      <c r="O17" s="6">
        <f t="shared" si="1"/>
        <v>56</v>
      </c>
      <c r="P17" s="6">
        <f t="shared" si="1"/>
        <v>58</v>
      </c>
      <c r="Q17" s="6">
        <f t="shared" si="1"/>
        <v>62</v>
      </c>
      <c r="R17" s="6">
        <f t="shared" si="1"/>
        <v>66</v>
      </c>
      <c r="S17" s="9">
        <f>R17+S16</f>
        <v>70</v>
      </c>
      <c r="T17" s="6">
        <f t="shared" ref="T17" si="2">S17+T16</f>
        <v>74</v>
      </c>
      <c r="U17" s="7">
        <f t="shared" ref="U17" si="3">T17+U16</f>
        <v>78</v>
      </c>
    </row>
    <row r="18" spans="1:21" x14ac:dyDescent="0.3">
      <c r="L18" s="51"/>
      <c r="U18" s="25"/>
    </row>
    <row r="19" spans="1:21" x14ac:dyDescent="0.3">
      <c r="L19" s="51"/>
    </row>
    <row r="20" spans="1:21" x14ac:dyDescent="0.3">
      <c r="L20" s="51"/>
    </row>
    <row r="21" spans="1:21" x14ac:dyDescent="0.3">
      <c r="L21" s="51"/>
    </row>
    <row r="23" spans="1:21" x14ac:dyDescent="0.3">
      <c r="H23" s="27"/>
    </row>
  </sheetData>
  <mergeCells count="5">
    <mergeCell ref="D4:F4"/>
    <mergeCell ref="J6:K6"/>
    <mergeCell ref="J5:K5"/>
    <mergeCell ref="H6:I6"/>
    <mergeCell ref="J7:K7"/>
  </mergeCells>
  <pageMargins left="0.7" right="0.7" top="0.75" bottom="0.75" header="0.3" footer="0.3"/>
  <pageSetup paperSize="9"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2025-11-02T16:36:23Z</dcterms:modified>
</cp:coreProperties>
</file>